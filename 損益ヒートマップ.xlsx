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uyaSuehiro\Desktop\非鉄2\"/>
    </mc:Choice>
  </mc:AlternateContent>
  <xr:revisionPtr revIDLastSave="0" documentId="8_{A73753B9-F6A9-4345-880C-BA5A42E4A39A}" xr6:coauthVersionLast="47" xr6:coauthVersionMax="47" xr10:uidLastSave="{00000000-0000-0000-0000-000000000000}"/>
  <bookViews>
    <workbookView xWindow="-120" yWindow="-120" windowWidth="20730" windowHeight="11040" xr2:uid="{954F90BB-A6E9-44F6-A629-6FC470DD11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1" l="1"/>
  <c r="M5" i="1"/>
  <c r="M4" i="1"/>
  <c r="M3" i="1"/>
  <c r="H6" i="1"/>
  <c r="B6" i="1"/>
  <c r="E6" i="1"/>
  <c r="K5" i="1"/>
  <c r="K4" i="1"/>
  <c r="K3" i="1"/>
  <c r="E5" i="1"/>
  <c r="E4" i="1"/>
  <c r="E3" i="1"/>
  <c r="K6" i="1" l="1"/>
</calcChain>
</file>

<file path=xl/sharedStrings.xml><?xml version="1.0" encoding="utf-8"?>
<sst xmlns="http://schemas.openxmlformats.org/spreadsheetml/2006/main" count="17" uniqueCount="10">
  <si>
    <t>数量</t>
    <rPh sb="0" eb="2">
      <t>スウリョウ</t>
    </rPh>
    <phoneticPr fontId="2"/>
  </si>
  <si>
    <t>1M</t>
    <phoneticPr fontId="2"/>
  </si>
  <si>
    <t>2M</t>
    <phoneticPr fontId="2"/>
  </si>
  <si>
    <t>3M</t>
    <phoneticPr fontId="2"/>
  </si>
  <si>
    <t>Month1</t>
    <phoneticPr fontId="2"/>
  </si>
  <si>
    <t>PL</t>
    <phoneticPr fontId="2"/>
  </si>
  <si>
    <t>単価</t>
    <rPh sb="0" eb="2">
      <t>タンカ</t>
    </rPh>
    <phoneticPr fontId="2"/>
  </si>
  <si>
    <t>評価額</t>
    <rPh sb="0" eb="3">
      <t>ヒョウカガク</t>
    </rPh>
    <phoneticPr fontId="2"/>
  </si>
  <si>
    <t>Month2</t>
    <phoneticPr fontId="2"/>
  </si>
  <si>
    <t>PL差異</t>
    <rPh sb="2" eb="4">
      <t>サイ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</si>
</sst>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6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8" fontId="0" fillId="0" borderId="0" xfId="1" applyFont="1">
      <alignment vertical="center"/>
    </xf>
    <xf numFmtId="38" fontId="0" fillId="0" borderId="0" xfId="0" applyNumberForma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81432-F853-46A4-B81B-44CE88FEA14E}">
  <dimension ref="A2:M6"/>
  <sheetViews>
    <sheetView tabSelected="1" workbookViewId="0">
      <selection activeCell="A11" sqref="A11"/>
    </sheetView>
  </sheetViews>
  <sheetFormatPr defaultRowHeight="15.75" x14ac:dyDescent="0.25"/>
  <sheetData>
    <row r="2" spans="1:13" x14ac:dyDescent="0.25">
      <c r="A2" t="s">
        <v>4</v>
      </c>
      <c r="B2" t="s">
        <v>0</v>
      </c>
      <c r="C2" t="s">
        <v>6</v>
      </c>
      <c r="D2" t="s">
        <v>7</v>
      </c>
      <c r="E2" t="s">
        <v>5</v>
      </c>
      <c r="G2" t="s">
        <v>8</v>
      </c>
      <c r="H2" t="s">
        <v>0</v>
      </c>
      <c r="I2" t="s">
        <v>6</v>
      </c>
      <c r="J2" t="s">
        <v>7</v>
      </c>
      <c r="K2" t="s">
        <v>5</v>
      </c>
      <c r="M2" t="s">
        <v>9</v>
      </c>
    </row>
    <row r="3" spans="1:13" x14ac:dyDescent="0.25">
      <c r="A3" t="s">
        <v>1</v>
      </c>
      <c r="B3">
        <v>100</v>
      </c>
      <c r="C3">
        <v>900</v>
      </c>
      <c r="D3">
        <v>1000</v>
      </c>
      <c r="E3" s="1">
        <f>(D3-C3)*B3</f>
        <v>10000</v>
      </c>
      <c r="G3" t="s">
        <v>1</v>
      </c>
      <c r="H3">
        <v>80</v>
      </c>
      <c r="I3">
        <v>900</v>
      </c>
      <c r="J3">
        <v>1050</v>
      </c>
      <c r="K3" s="1">
        <f>(J3-I3)*H3</f>
        <v>12000</v>
      </c>
      <c r="M3" s="2">
        <f>K3-E3</f>
        <v>2000</v>
      </c>
    </row>
    <row r="4" spans="1:13" x14ac:dyDescent="0.25">
      <c r="A4" t="s">
        <v>2</v>
      </c>
      <c r="B4">
        <v>-50</v>
      </c>
      <c r="C4">
        <v>900</v>
      </c>
      <c r="D4">
        <v>1100</v>
      </c>
      <c r="E4" s="1">
        <f t="shared" ref="E4:E5" si="0">(D4-C4)*B4</f>
        <v>-10000</v>
      </c>
      <c r="G4" t="s">
        <v>2</v>
      </c>
      <c r="H4">
        <v>-70</v>
      </c>
      <c r="I4">
        <v>900</v>
      </c>
      <c r="J4">
        <v>1100</v>
      </c>
      <c r="K4" s="1">
        <f t="shared" ref="K4:K5" si="1">(J4-I4)*H4</f>
        <v>-14000</v>
      </c>
      <c r="M4" s="2">
        <f>K4-E4</f>
        <v>-4000</v>
      </c>
    </row>
    <row r="5" spans="1:13" x14ac:dyDescent="0.25">
      <c r="A5" t="s">
        <v>3</v>
      </c>
      <c r="B5">
        <v>-50</v>
      </c>
      <c r="C5">
        <v>900</v>
      </c>
      <c r="D5">
        <v>1200</v>
      </c>
      <c r="E5" s="1">
        <f t="shared" si="0"/>
        <v>-15000</v>
      </c>
      <c r="G5" t="s">
        <v>3</v>
      </c>
      <c r="H5">
        <v>-10</v>
      </c>
      <c r="I5">
        <v>900</v>
      </c>
      <c r="J5">
        <v>1150</v>
      </c>
      <c r="K5" s="1">
        <f t="shared" si="1"/>
        <v>-2500</v>
      </c>
      <c r="M5" s="2">
        <f>K5-E5</f>
        <v>12500</v>
      </c>
    </row>
    <row r="6" spans="1:13" x14ac:dyDescent="0.25">
      <c r="B6" s="2">
        <f>SUM(B3:B5)</f>
        <v>0</v>
      </c>
      <c r="E6" s="2">
        <f>SUM(E3:E5)</f>
        <v>-15000</v>
      </c>
      <c r="H6" s="2">
        <f>SUM(H3:H5)</f>
        <v>0</v>
      </c>
      <c r="K6" s="2">
        <f>SUM(K3:K5)</f>
        <v>-4500</v>
      </c>
      <c r="M6" s="2">
        <f>K6-E6</f>
        <v>10500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卓也 末弘</dc:creator>
  <cp:lastModifiedBy>卓也 末弘</cp:lastModifiedBy>
  <dcterms:created xsi:type="dcterms:W3CDTF">2025-12-19T07:08:40Z</dcterms:created>
  <dcterms:modified xsi:type="dcterms:W3CDTF">2025-12-19T07:14:35Z</dcterms:modified>
</cp:coreProperties>
</file>